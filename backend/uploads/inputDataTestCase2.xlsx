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cibei/Library/CloudStorage/OneDrive-UNSW/UNI/Y6/thesis2/electric-train-optimisation/backend/uploads/"/>
    </mc:Choice>
  </mc:AlternateContent>
  <xr:revisionPtr revIDLastSave="0" documentId="13_ncr:1_{2B130DBD-FCD2-D448-9D3D-188FCCF91A2F}" xr6:coauthVersionLast="47" xr6:coauthVersionMax="47" xr10:uidLastSave="{00000000-0000-0000-0000-000000000000}"/>
  <bookViews>
    <workbookView xWindow="38400" yWindow="2720" windowWidth="30240" windowHeight="17300" xr2:uid="{CE1EDC5B-9FE5-9D40-A04B-B1314B673BED}"/>
  </bookViews>
  <sheets>
    <sheet name="Vertical Alignment" sheetId="1" r:id="rId1"/>
    <sheet name="Horizontal Alignment" sheetId="2" r:id="rId2"/>
    <sheet name="Spe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4" i="2"/>
  <c r="E7" i="1"/>
  <c r="E4" i="1"/>
  <c r="E5" i="1"/>
  <c r="E6" i="1"/>
  <c r="F4" i="2"/>
  <c r="F5" i="2"/>
  <c r="F6" i="2"/>
  <c r="F7" i="2"/>
  <c r="F2" i="2"/>
  <c r="E3" i="1"/>
  <c r="E2" i="1"/>
  <c r="F3" i="2"/>
  <c r="B2" i="2"/>
</calcChain>
</file>

<file path=xl/sharedStrings.xml><?xml version="1.0" encoding="utf-8"?>
<sst xmlns="http://schemas.openxmlformats.org/spreadsheetml/2006/main" count="10" uniqueCount="8">
  <si>
    <t>Chainage</t>
  </si>
  <si>
    <t>Gradient</t>
  </si>
  <si>
    <t>Speed (km/h)</t>
  </si>
  <si>
    <t>Curve Radius</t>
  </si>
  <si>
    <t>Curve Degree</t>
  </si>
  <si>
    <t>thesis compare</t>
  </si>
  <si>
    <t>Curve %</t>
  </si>
  <si>
    <t>not used last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</si>
</sst>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1FBD-73EF-3E4B-A4B3-14107A03DA21}">
  <dimension ref="A1:F7"/>
  <sheetViews>
    <sheetView tabSelected="1" workbookViewId="0">
      <selection activeCell="C23" sqref="C22:C2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>
        <v>0</v>
      </c>
      <c r="B2">
        <f>IFERROR(1/D2, 0)</f>
        <v>0</v>
      </c>
      <c r="D2">
        <v>0</v>
      </c>
      <c r="E2">
        <f>B2*100</f>
        <v>0</v>
      </c>
    </row>
    <row r="3" spans="1:6" x14ac:dyDescent="0.2">
      <c r="A3">
        <v>1</v>
      </c>
      <c r="B3">
        <v>0.5</v>
      </c>
      <c r="D3">
        <v>0</v>
      </c>
      <c r="E3">
        <f t="shared" ref="E3:E7" si="0">B3*100</f>
        <v>50</v>
      </c>
    </row>
    <row r="4" spans="1:6" x14ac:dyDescent="0.2">
      <c r="A4">
        <v>2</v>
      </c>
      <c r="B4">
        <v>1</v>
      </c>
      <c r="D4">
        <v>0</v>
      </c>
      <c r="E4">
        <f t="shared" si="0"/>
        <v>100</v>
      </c>
      <c r="F4" t="s">
        <v>5</v>
      </c>
    </row>
    <row r="5" spans="1:6" x14ac:dyDescent="0.2">
      <c r="A5">
        <v>3</v>
      </c>
      <c r="B5">
        <v>0.5</v>
      </c>
      <c r="D5">
        <v>0</v>
      </c>
      <c r="E5">
        <f t="shared" si="0"/>
        <v>50</v>
      </c>
    </row>
    <row r="6" spans="1:6" x14ac:dyDescent="0.2">
      <c r="A6">
        <v>4</v>
      </c>
      <c r="B6">
        <v>1.5</v>
      </c>
      <c r="D6">
        <v>0</v>
      </c>
      <c r="E6">
        <f t="shared" si="0"/>
        <v>150</v>
      </c>
    </row>
    <row r="7" spans="1:6" x14ac:dyDescent="0.2">
      <c r="A7">
        <v>5</v>
      </c>
      <c r="B7">
        <v>0</v>
      </c>
      <c r="D7">
        <v>0</v>
      </c>
      <c r="E7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FF63-F55B-1145-9313-06B9F1A17E53}">
  <dimension ref="A1:G7"/>
  <sheetViews>
    <sheetView workbookViewId="0">
      <selection activeCell="D16" sqref="D16"/>
    </sheetView>
  </sheetViews>
  <sheetFormatPr baseColWidth="10" defaultRowHeight="16" x14ac:dyDescent="0.2"/>
  <cols>
    <col min="2" max="2" width="12.1640625" customWidth="1"/>
    <col min="3" max="3" width="17" customWidth="1"/>
  </cols>
  <sheetData>
    <row r="1" spans="1:7" x14ac:dyDescent="0.2">
      <c r="A1" s="1" t="s">
        <v>0</v>
      </c>
      <c r="B1" s="1" t="s">
        <v>4</v>
      </c>
      <c r="E1" s="1" t="s">
        <v>3</v>
      </c>
      <c r="F1" s="1" t="s">
        <v>6</v>
      </c>
    </row>
    <row r="2" spans="1:7" x14ac:dyDescent="0.2">
      <c r="A2">
        <v>0</v>
      </c>
      <c r="B2">
        <f>IF(E2=0, 0, (180 * 20) / (PI() * E2))</f>
        <v>0</v>
      </c>
      <c r="E2">
        <v>0</v>
      </c>
      <c r="F2">
        <f>TAN(RADIANS(B2))*100</f>
        <v>0</v>
      </c>
    </row>
    <row r="3" spans="1:7" x14ac:dyDescent="0.2">
      <c r="A3">
        <v>1</v>
      </c>
      <c r="B3">
        <v>5.73</v>
      </c>
      <c r="E3">
        <v>0</v>
      </c>
      <c r="F3">
        <f t="shared" ref="F3:F7" si="0">TAN(RADIANS(B3))*100</f>
        <v>10.034211238549078</v>
      </c>
    </row>
    <row r="4" spans="1:7" x14ac:dyDescent="0.2">
      <c r="A4">
        <v>2</v>
      </c>
      <c r="B4">
        <f t="shared" ref="B4" si="1">IF(E4=0, 0, (180 * 20) / (PI() * E4))</f>
        <v>0</v>
      </c>
      <c r="E4">
        <v>0</v>
      </c>
      <c r="F4">
        <f t="shared" si="0"/>
        <v>0</v>
      </c>
    </row>
    <row r="5" spans="1:7" x14ac:dyDescent="0.2">
      <c r="A5">
        <v>3</v>
      </c>
      <c r="B5">
        <v>2.86</v>
      </c>
      <c r="E5">
        <v>0</v>
      </c>
      <c r="F5">
        <f t="shared" si="0"/>
        <v>4.995791602561547</v>
      </c>
    </row>
    <row r="6" spans="1:7" x14ac:dyDescent="0.2">
      <c r="A6">
        <v>4</v>
      </c>
      <c r="B6">
        <v>1.91</v>
      </c>
      <c r="E6">
        <v>0</v>
      </c>
      <c r="F6">
        <f t="shared" si="0"/>
        <v>3.3348142611964442</v>
      </c>
    </row>
    <row r="7" spans="1:7" x14ac:dyDescent="0.2">
      <c r="A7">
        <v>5</v>
      </c>
      <c r="B7">
        <v>0</v>
      </c>
      <c r="E7">
        <v>0</v>
      </c>
      <c r="F7">
        <f t="shared" si="0"/>
        <v>0</v>
      </c>
      <c r="G7" t="s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4680-78E8-C14D-8D65-47F6F688024B}">
  <dimension ref="A1:B7"/>
  <sheetViews>
    <sheetView workbookViewId="0">
      <selection activeCell="D11" sqref="D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>
        <v>0</v>
      </c>
      <c r="B2">
        <v>80</v>
      </c>
    </row>
    <row r="3" spans="1:2" x14ac:dyDescent="0.2">
      <c r="A3">
        <v>1</v>
      </c>
      <c r="B3">
        <v>100</v>
      </c>
    </row>
    <row r="4" spans="1:2" x14ac:dyDescent="0.2">
      <c r="A4">
        <v>2</v>
      </c>
      <c r="B4">
        <v>120</v>
      </c>
    </row>
    <row r="5" spans="1:2" x14ac:dyDescent="0.2">
      <c r="A5">
        <v>3</v>
      </c>
      <c r="B5">
        <v>100</v>
      </c>
    </row>
    <row r="6" spans="1:2" x14ac:dyDescent="0.2">
      <c r="A6">
        <v>4</v>
      </c>
      <c r="B6">
        <v>120</v>
      </c>
    </row>
    <row r="7" spans="1:2" x14ac:dyDescent="0.2">
      <c r="A7">
        <v>5</v>
      </c>
      <c r="B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Vertical Alignment</vt:lpstr>
      <vt:lpstr>Horizontal Alignment</vt:lpstr>
      <vt:lpstr>Speeds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Cibei</dc:creator>
  <cp:lastModifiedBy>Sophia Cibei</cp:lastModifiedBy>
  <dcterms:created xsi:type="dcterms:W3CDTF">2025-03-01T10:50:23Z</dcterms:created>
  <dcterms:modified xsi:type="dcterms:W3CDTF">2025-08-11T03:32:17Z</dcterms:modified>
</cp:coreProperties>
</file>